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yogesh\Desktop\Hackathon\"/>
    </mc:Choice>
  </mc:AlternateContent>
  <bookViews>
    <workbookView xWindow="0" yWindow="0" windowWidth="20490" windowHeight="7620" activeTab="1"/>
  </bookViews>
  <sheets>
    <sheet name="Sheet1" sheetId="1" r:id="rId1"/>
    <sheet name="Sheet4" sheetId="4" r:id="rId2"/>
    <sheet name="Sheet2" sheetId="2" r:id="rId3"/>
  </sheets>
  <definedNames>
    <definedName name="ExternalData_1" localSheetId="2" hidden="1">Sheet2!$A$1:$P$12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4" l="1"/>
  <c r="H9" i="4"/>
  <c r="L9" i="4"/>
  <c r="C4" i="1" l="1"/>
  <c r="C5" i="1"/>
  <c r="J13" i="4" s="1"/>
  <c r="C6" i="1"/>
  <c r="C7" i="1"/>
  <c r="C8" i="1"/>
  <c r="C9" i="1"/>
  <c r="J17" i="4" s="1"/>
  <c r="C10" i="1"/>
  <c r="J18" i="4" s="1"/>
  <c r="C11" i="1"/>
  <c r="J19" i="4" s="1"/>
  <c r="C3" i="1"/>
  <c r="J11" i="4" s="1"/>
  <c r="C2" i="1"/>
  <c r="J10" i="4" s="1"/>
  <c r="B4" i="1"/>
  <c r="B5" i="1"/>
  <c r="B6" i="1"/>
  <c r="B7" i="1"/>
  <c r="B8" i="1"/>
  <c r="B9" i="1"/>
  <c r="B10" i="1"/>
  <c r="B11" i="1"/>
  <c r="B3" i="1"/>
  <c r="A4" i="1"/>
  <c r="D12" i="4" s="1"/>
  <c r="A5" i="1"/>
  <c r="D13" i="4" s="1"/>
  <c r="A6" i="1"/>
  <c r="D14" i="4" s="1"/>
  <c r="A7" i="1"/>
  <c r="D15" i="4" s="1"/>
  <c r="A8" i="1"/>
  <c r="D16" i="4" s="1"/>
  <c r="A9" i="1"/>
  <c r="D17" i="4" s="1"/>
  <c r="A10" i="1"/>
  <c r="D18" i="4" s="1"/>
  <c r="A11" i="1"/>
  <c r="D19" i="4" s="1"/>
  <c r="A3" i="1"/>
  <c r="D11" i="4" s="1"/>
  <c r="B2" i="1"/>
  <c r="H10" i="4" s="1"/>
  <c r="A2" i="1"/>
  <c r="D10" i="4" s="1"/>
  <c r="D11" i="1" l="1"/>
  <c r="L19" i="4" s="1"/>
  <c r="H19" i="4"/>
  <c r="D9" i="1"/>
  <c r="L17" i="4" s="1"/>
  <c r="H17" i="4"/>
  <c r="D7" i="1"/>
  <c r="L15" i="4" s="1"/>
  <c r="H15" i="4"/>
  <c r="D5" i="1"/>
  <c r="L13" i="4" s="1"/>
  <c r="H13" i="4"/>
  <c r="J3" i="1"/>
  <c r="D5" i="4" s="1"/>
  <c r="J15" i="4"/>
  <c r="D3" i="1"/>
  <c r="L11" i="4" s="1"/>
  <c r="H11" i="4"/>
  <c r="D10" i="1"/>
  <c r="L18" i="4" s="1"/>
  <c r="H18" i="4"/>
  <c r="D8" i="1"/>
  <c r="L16" i="4" s="1"/>
  <c r="H16" i="4"/>
  <c r="D6" i="1"/>
  <c r="L14" i="4" s="1"/>
  <c r="H14" i="4"/>
  <c r="D4" i="1"/>
  <c r="L12" i="4" s="1"/>
  <c r="H12" i="4"/>
  <c r="M3" i="1"/>
  <c r="P5" i="4" s="1"/>
  <c r="J16" i="4"/>
  <c r="K3" i="1"/>
  <c r="H5" i="4" s="1"/>
  <c r="J14" i="4"/>
  <c r="L3" i="1"/>
  <c r="L5" i="4" s="1"/>
  <c r="J12" i="4"/>
  <c r="J2" i="1"/>
  <c r="K2" i="1"/>
  <c r="L2" i="1"/>
  <c r="M2" i="1"/>
  <c r="D2" i="1"/>
  <c r="L10" i="4" s="1"/>
  <c r="M4" i="1" l="1"/>
  <c r="R4" i="4" s="1"/>
  <c r="P4" i="4"/>
  <c r="K4" i="1"/>
  <c r="J4" i="4" s="1"/>
  <c r="H4" i="4"/>
  <c r="L4" i="1"/>
  <c r="N4" i="4" s="1"/>
  <c r="L4" i="4"/>
  <c r="D4" i="4"/>
  <c r="J4" i="1"/>
  <c r="F4" i="4" s="1"/>
</calcChain>
</file>

<file path=xl/connections.xml><?xml version="1.0" encoding="utf-8"?>
<connections xmlns="http://schemas.openxmlformats.org/spreadsheetml/2006/main">
  <connection id="1" keepAlive="1" name="Query - Sheet1" description="Connection to the 'Sheet1' query in the workbook." type="5" refreshedVersion="6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<sst xmlns="http://schemas.openxmlformats.org/spreadsheetml/2006/main" count="97" uniqueCount="42">
  <si>
    <t>KPI</t>
  </si>
  <si>
    <t>Calc type</t>
  </si>
  <si>
    <t>Pageviews</t>
  </si>
  <si>
    <t>Total</t>
  </si>
  <si>
    <t>Bounce Rate</t>
  </si>
  <si>
    <t>Percentage</t>
  </si>
  <si>
    <t>New Sessions</t>
  </si>
  <si>
    <t>Conversion Rate</t>
  </si>
  <si>
    <t>Average Session Duration</t>
  </si>
  <si>
    <t>Number of Leads Collected</t>
  </si>
  <si>
    <t>Revenue</t>
  </si>
  <si>
    <t>Email Subscriptions</t>
  </si>
  <si>
    <t>Download Counts</t>
  </si>
  <si>
    <t>Form Submissions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</si>
  <si>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</si>
  <si>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</si>
  <si>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</si>
  <si>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</si>
  <si>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</si>
  <si>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</si>
  <si>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</si>
  <si>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</si>
  <si>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</si>
  <si>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</si>
  <si>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</si>
  <si>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</si>
  <si>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</si>
  <si>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</si>
  <si>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This Week</t>
  </si>
  <si>
    <t>Previous Week</t>
  </si>
  <si>
    <t>Trend</t>
  </si>
  <si>
    <t>Last week</t>
  </si>
  <si>
    <t>Current week</t>
  </si>
  <si>
    <t>No.of Leads</t>
  </si>
  <si>
    <t>Email Subscription</t>
  </si>
  <si>
    <t>Delta</t>
  </si>
  <si>
    <t>KPI  DASHBOARD</t>
  </si>
  <si>
    <t>Total Revenue</t>
  </si>
  <si>
    <t>Previous week</t>
  </si>
  <si>
    <t>No.of.Leads</t>
  </si>
  <si>
    <t>Last Week</t>
  </si>
  <si>
    <t>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</si>
</sst>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 &quot;₹&quot;\ * #,##0.00_ ;_ &quot;₹&quot;\ * \-#,##0.00_ ;_ &quot;₹&quot;\ * &quot;-&quot;??_ ;_ @_ "/>
    <numFmt numFmtId="164" formatCode="&quot;₹&quot;\ #,##0.00"/>
    <numFmt numFmtId="165" formatCode="&quot;₹&quot;\ #,##0"/>
    <numFmt numFmtId="166" formatCode="0.000"/>
    <numFmt numFmtId="167" formatCode="0.000000000"/>
    <numFmt numFmtId="168" formatCode="0.00000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theme="7" tint="0.39997558519241921"/>
      </left>
      <right style="medium">
        <color theme="7" tint="0.39997558519241921"/>
      </right>
      <top style="medium">
        <color theme="7" tint="0.39997558519241921"/>
      </top>
      <bottom style="medium">
        <color theme="7" tint="0.39997558519241921"/>
      </bottom>
      <diagonal/>
    </border>
    <border>
      <left style="medium">
        <color theme="7" tint="0.39997558519241921"/>
      </left>
      <right/>
      <top style="medium">
        <color theme="7" tint="0.39997558519241921"/>
      </top>
      <bottom/>
      <diagonal/>
    </border>
    <border>
      <left/>
      <right/>
      <top style="medium">
        <color theme="7" tint="0.39997558519241921"/>
      </top>
      <bottom/>
      <diagonal/>
    </border>
    <border>
      <left/>
      <right style="medium">
        <color theme="7" tint="0.39997558519241921"/>
      </right>
      <top style="medium">
        <color theme="7" tint="0.3999755851924192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/>
    <xf numFmtId="16" fontId="0" fillId="0" borderId="0" xfId="0" applyNumberFormat="1"/>
    <xf numFmtId="9" fontId="0" fillId="0" borderId="0" xfId="2" applyFont="1"/>
    <xf numFmtId="44" fontId="0" fillId="0" borderId="0" xfId="1" applyFont="1"/>
    <xf numFmtId="9" fontId="9" fillId="2" borderId="0" xfId="0" applyNumberFormat="1" applyFont="1" applyFill="1" applyAlignment="1">
      <alignment horizontal="right"/>
    </xf>
    <xf numFmtId="0" fontId="0" fillId="2" borderId="0" xfId="0" applyFill="1"/>
    <xf numFmtId="0" fontId="0" fillId="0" borderId="0" xfId="0" applyAlignment="1"/>
    <xf numFmtId="9" fontId="0" fillId="2" borderId="3" xfId="2" applyFont="1" applyFill="1" applyBorder="1"/>
    <xf numFmtId="9" fontId="0" fillId="0" borderId="1" xfId="2" applyFont="1" applyBorder="1" applyAlignment="1">
      <alignment horizontal="right"/>
    </xf>
    <xf numFmtId="0" fontId="4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6" fillId="2" borderId="0" xfId="0" applyFont="1" applyFill="1" applyAlignment="1">
      <alignment horizontal="center"/>
    </xf>
    <xf numFmtId="165" fontId="3" fillId="2" borderId="0" xfId="0" applyNumberFormat="1" applyFont="1" applyFill="1" applyAlignment="1">
      <alignment horizontal="right" vertical="center"/>
    </xf>
    <xf numFmtId="164" fontId="7" fillId="2" borderId="0" xfId="0" applyNumberFormat="1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1" fontId="7" fillId="2" borderId="0" xfId="0" applyNumberFormat="1" applyFont="1" applyFill="1" applyAlignment="1">
      <alignment horizontal="right"/>
    </xf>
    <xf numFmtId="1" fontId="3" fillId="2" borderId="0" xfId="0" applyNumberFormat="1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right" vertical="center"/>
    </xf>
    <xf numFmtId="166" fontId="7" fillId="2" borderId="0" xfId="0" applyNumberFormat="1" applyFont="1" applyFill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1" xfId="0" applyFont="1" applyBorder="1" applyAlignment="1">
      <alignment horizontal="right"/>
    </xf>
    <xf numFmtId="0" fontId="0" fillId="0" borderId="1" xfId="0" applyBorder="1" applyAlignment="1">
      <alignment horizontal="right"/>
    </xf>
    <xf numFmtId="165" fontId="0" fillId="0" borderId="1" xfId="0" applyNumberFormat="1" applyFont="1" applyBorder="1" applyAlignment="1">
      <alignment horizontal="right"/>
    </xf>
    <xf numFmtId="167" fontId="5" fillId="0" borderId="1" xfId="0" applyNumberFormat="1" applyFont="1" applyBorder="1" applyAlignment="1">
      <alignment horizontal="right"/>
    </xf>
    <xf numFmtId="168" fontId="5" fillId="0" borderId="1" xfId="0" applyNumberFormat="1" applyFont="1" applyBorder="1" applyAlignment="1">
      <alignment horizontal="right"/>
    </xf>
    <xf numFmtId="165" fontId="5" fillId="0" borderId="1" xfId="1" applyNumberFormat="1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2" borderId="4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KPI" tableColumnId="33"/>
      <queryTableField id="2" name="Calc type" tableColumnId="34"/>
      <queryTableField id="3" name="27-04-2020" tableColumnId="35"/>
      <queryTableField id="4" name="28-04-2020 00:00:00" tableColumnId="36"/>
      <queryTableField id="5" name="29-04-2020 00:00:00" tableColumnId="37"/>
      <queryTableField id="6" name="30-04-2020 00:00:00" tableColumnId="38"/>
      <queryTableField id="7" name="01-05-2020 00:00:00" tableColumnId="39"/>
      <queryTableField id="8" name="02-05-2020 00:00:00" tableColumnId="40"/>
      <queryTableField id="9" name="03-05-2020 00:00:00" tableColumnId="41"/>
      <queryTableField id="10" name="04-05-2020 00:00:00" tableColumnId="42"/>
      <queryTableField id="11" name="05-05-2020 00:00:00" tableColumnId="43"/>
      <queryTableField id="12" name="06-05-2020 00:00:00" tableColumnId="44"/>
      <queryTableField id="13" name="07-05-2020 00:00:00" tableColumnId="45"/>
      <queryTableField id="14" name="08-05-2020 00:00:00" tableColumnId="46"/>
      <queryTableField id="15" name="09-05-2020 00:00:00" tableColumnId="47"/>
      <queryTableField id="16" name="10-05-2020 00:00:0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Sheet1" displayName="Sheet1" ref="A1:P12" tableType="queryTable" totalsRowShown="0">
  <autoFilter ref="A1:P12"/>
  <tableColumns count="16">
    <tableColumn id="33" uniqueName="33" name="KPI" queryTableFieldId="1" dataDxfId="15"/>
    <tableColumn id="34" uniqueName="34" name="Calc type" queryTableFieldId="2" dataDxfId="14"/>
    <tableColumn id="35" uniqueName="35" name="27-Apr" queryTableFieldId="3" dataDxfId="13"/>
    <tableColumn id="36" uniqueName="36" name="28-Apr" queryTableFieldId="4" dataDxfId="12"/>
    <tableColumn id="37" uniqueName="37" name="29-Apr" queryTableFieldId="5" dataDxfId="11"/>
    <tableColumn id="38" uniqueName="38" name="30-Apr" queryTableFieldId="6" dataDxfId="10"/>
    <tableColumn id="39" uniqueName="39" name="01-May" queryTableFieldId="7" dataDxfId="9"/>
    <tableColumn id="40" uniqueName="40" name="02-May" queryTableFieldId="8" dataDxfId="8"/>
    <tableColumn id="41" uniqueName="41" name="03-May" queryTableFieldId="9" dataDxfId="7"/>
    <tableColumn id="42" uniqueName="42" name="04-May" queryTableFieldId="10" dataDxfId="6"/>
    <tableColumn id="43" uniqueName="43" name="05-May" queryTableFieldId="11" dataDxfId="5"/>
    <tableColumn id="44" uniqueName="44" name="06-May" queryTableFieldId="12" dataDxfId="4"/>
    <tableColumn id="45" uniqueName="45" name="07-May" queryTableFieldId="13" dataDxfId="3"/>
    <tableColumn id="46" uniqueName="46" name="08-May" queryTableFieldId="14" dataDxfId="2"/>
    <tableColumn id="47" uniqueName="47" name="09-May" queryTableFieldId="15" dataDxfId="1"/>
    <tableColumn id="48" uniqueName="48" name="10-May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5"/>
  <sheetViews>
    <sheetView workbookViewId="0">
      <selection activeCell="E1" sqref="E1:E11"/>
    </sheetView>
  </sheetViews>
  <sheetFormatPr defaultRowHeight="15" x14ac:dyDescent="0.25"/>
  <cols>
    <col min="5" max="5" width="18.7109375" customWidth="1"/>
    <col min="10" max="10" width="13.28515625" bestFit="1" customWidth="1"/>
  </cols>
  <sheetData>
    <row r="1" spans="1:16" x14ac:dyDescent="0.25">
      <c r="A1" t="s">
        <v>0</v>
      </c>
      <c r="B1" t="s">
        <v>28</v>
      </c>
      <c r="C1" t="s">
        <v>29</v>
      </c>
      <c r="D1" t="s">
        <v>41</v>
      </c>
      <c r="J1" t="s">
        <v>10</v>
      </c>
      <c r="K1" t="s">
        <v>33</v>
      </c>
      <c r="L1" t="s">
        <v>7</v>
      </c>
      <c r="M1" t="s">
        <v>34</v>
      </c>
    </row>
    <row r="2" spans="1:16" x14ac:dyDescent="0.25">
      <c r="A2" t="str">
        <f>Sheet1[[#This Row],[KPI]]</f>
        <v>Pageviews</v>
      </c>
      <c r="B2">
        <f>SUBTOTAL(9,Sheet1[[#This Row],[04-May]:[10-May]])</f>
        <v>116587</v>
      </c>
      <c r="C2">
        <f>SUBTOTAL(9,Sheet1[[#This Row],[27-Apr]:[03-May]])</f>
        <v>115383</v>
      </c>
      <c r="D2" s="3">
        <f t="shared" ref="D2:D11" si="0">B2/C2-1</f>
        <v>1.0434812754045231E-2</v>
      </c>
      <c r="I2" t="s">
        <v>32</v>
      </c>
      <c r="J2" s="4">
        <f>B7</f>
        <v>993821.01475673774</v>
      </c>
      <c r="K2">
        <f>B6</f>
        <v>15745</v>
      </c>
      <c r="L2">
        <f>B4</f>
        <v>22.966882871603765</v>
      </c>
      <c r="M2">
        <f>B8</f>
        <v>24378</v>
      </c>
    </row>
    <row r="3" spans="1:16" x14ac:dyDescent="0.25">
      <c r="A3" t="str">
        <f>Sheet2!A4</f>
        <v>New Sessions</v>
      </c>
      <c r="B3">
        <f>SUBTOTAL(9,Sheet2!J4:P4)</f>
        <v>420.35635727552051</v>
      </c>
      <c r="C3">
        <f>SUBTOTAL(9,Sheet2!C4:I4)</f>
        <v>464.69605917211982</v>
      </c>
      <c r="D3" s="3">
        <f t="shared" si="0"/>
        <v>-9.5416565347235305E-2</v>
      </c>
      <c r="I3" t="s">
        <v>31</v>
      </c>
      <c r="J3" s="4">
        <f>C7</f>
        <v>961273.90074703668</v>
      </c>
      <c r="K3">
        <f>C6</f>
        <v>20014</v>
      </c>
      <c r="L3">
        <f>C4</f>
        <v>19.79183604759244</v>
      </c>
      <c r="M3">
        <f>C8</f>
        <v>13500</v>
      </c>
    </row>
    <row r="4" spans="1:16" x14ac:dyDescent="0.25">
      <c r="A4" t="str">
        <f>Sheet2!A5</f>
        <v>Conversion Rate</v>
      </c>
      <c r="B4">
        <f>SUBTOTAL(9,Sheet2!J5:P5)</f>
        <v>22.966882871603765</v>
      </c>
      <c r="C4">
        <f>SUBTOTAL(9,Sheet2!C5:I5)</f>
        <v>19.79183604759244</v>
      </c>
      <c r="D4" s="3">
        <f t="shared" si="0"/>
        <v>0.16042204555335071</v>
      </c>
      <c r="I4" t="s">
        <v>35</v>
      </c>
      <c r="J4" s="3">
        <f>J2/J3-1</f>
        <v>3.3858314455856631E-2</v>
      </c>
      <c r="K4" s="3">
        <f>K2/K3-1</f>
        <v>-0.21330068951733783</v>
      </c>
      <c r="L4" s="3">
        <f>L2/L3-1</f>
        <v>0.16042204555335071</v>
      </c>
      <c r="M4" s="3">
        <f>M2/M3-1</f>
        <v>0.8057777777777777</v>
      </c>
    </row>
    <row r="5" spans="1:16" x14ac:dyDescent="0.25">
      <c r="A5" t="str">
        <f>Sheet2!A6</f>
        <v>Average Session Duration</v>
      </c>
      <c r="B5">
        <f>SUBTOTAL(9,Sheet2!J6:P6)</f>
        <v>1146</v>
      </c>
      <c r="C5">
        <f>SUBTOTAL(9,Sheet2!C6:I6)</f>
        <v>1102</v>
      </c>
      <c r="D5" s="3">
        <f t="shared" si="0"/>
        <v>3.9927404718693271E-2</v>
      </c>
    </row>
    <row r="6" spans="1:16" x14ac:dyDescent="0.25">
      <c r="A6" t="str">
        <f>Sheet2!A7</f>
        <v>Number of Leads Collected</v>
      </c>
      <c r="B6">
        <f>SUBTOTAL(9,Sheet2!J7:P7)</f>
        <v>15745</v>
      </c>
      <c r="C6">
        <f>SUBTOTAL(9,Sheet2!C7:I7)</f>
        <v>20014</v>
      </c>
      <c r="D6" s="3">
        <f t="shared" si="0"/>
        <v>-0.21330068951733783</v>
      </c>
    </row>
    <row r="7" spans="1:16" x14ac:dyDescent="0.25">
      <c r="A7" t="str">
        <f>Sheet2!A8</f>
        <v>Revenue</v>
      </c>
      <c r="B7">
        <f>SUBTOTAL(9,Sheet2!J8:P8)</f>
        <v>993821.01475673774</v>
      </c>
      <c r="C7">
        <f>SUBTOTAL(9,Sheet2!C8:I8)</f>
        <v>961273.90074703668</v>
      </c>
      <c r="D7" s="3">
        <f t="shared" si="0"/>
        <v>3.3858314455856631E-2</v>
      </c>
    </row>
    <row r="8" spans="1:16" x14ac:dyDescent="0.25">
      <c r="A8" t="str">
        <f>Sheet2!A9</f>
        <v>Email Subscriptions</v>
      </c>
      <c r="B8">
        <f>SUBTOTAL(9,Sheet2!J9:P9)</f>
        <v>24378</v>
      </c>
      <c r="C8">
        <f>SUBTOTAL(9,Sheet2!C9:I9)</f>
        <v>13500</v>
      </c>
      <c r="D8" s="3">
        <f t="shared" si="0"/>
        <v>0.8057777777777777</v>
      </c>
    </row>
    <row r="9" spans="1:16" x14ac:dyDescent="0.25">
      <c r="A9" t="str">
        <f>Sheet2!A10</f>
        <v>Download Counts</v>
      </c>
      <c r="B9">
        <f>SUBTOTAL(9,Sheet2!J10:P10)</f>
        <v>15255</v>
      </c>
      <c r="C9">
        <f>SUBTOTAL(9,Sheet2!C10:I10)</f>
        <v>14321</v>
      </c>
      <c r="D9" s="3">
        <f t="shared" si="0"/>
        <v>6.5218909294043614E-2</v>
      </c>
    </row>
    <row r="10" spans="1:16" x14ac:dyDescent="0.25">
      <c r="A10" t="str">
        <f>Sheet2!A11</f>
        <v>Form Submissions</v>
      </c>
      <c r="B10">
        <f>SUBTOTAL(9,Sheet2!J11:P11)</f>
        <v>13182</v>
      </c>
      <c r="C10">
        <f>SUBTOTAL(9,Sheet2!C11:I11)</f>
        <v>12153</v>
      </c>
      <c r="D10" s="3">
        <f t="shared" si="0"/>
        <v>8.4670451740310959E-2</v>
      </c>
    </row>
    <row r="11" spans="1:16" x14ac:dyDescent="0.25">
      <c r="A11" t="str">
        <f>Sheet2!A12</f>
        <v>Download Counts</v>
      </c>
      <c r="B11">
        <f>SUBTOTAL(9,Sheet2!J12:P12)</f>
        <v>27137</v>
      </c>
      <c r="C11">
        <f>SUBTOTAL(9,Sheet2!C12:I12)</f>
        <v>16154</v>
      </c>
      <c r="D11" s="3">
        <f t="shared" si="0"/>
        <v>0.67989352482357313</v>
      </c>
    </row>
    <row r="14" spans="1:16" x14ac:dyDescent="0.25">
      <c r="A14" t="s">
        <v>0</v>
      </c>
      <c r="B14" t="s">
        <v>1</v>
      </c>
      <c r="C14" t="s">
        <v>14</v>
      </c>
      <c r="D14" t="s">
        <v>15</v>
      </c>
      <c r="E14" t="s">
        <v>16</v>
      </c>
      <c r="F14" t="s">
        <v>17</v>
      </c>
      <c r="G14" t="s">
        <v>18</v>
      </c>
      <c r="H14" t="s">
        <v>19</v>
      </c>
      <c r="I14" t="s">
        <v>20</v>
      </c>
      <c r="J14" t="s">
        <v>21</v>
      </c>
      <c r="K14" t="s">
        <v>22</v>
      </c>
      <c r="L14" t="s">
        <v>23</v>
      </c>
      <c r="M14" t="s">
        <v>24</v>
      </c>
      <c r="N14" t="s">
        <v>25</v>
      </c>
      <c r="O14" t="s">
        <v>26</v>
      </c>
      <c r="P14" t="s">
        <v>27</v>
      </c>
    </row>
    <row r="15" spans="1:16" x14ac:dyDescent="0.25">
      <c r="A15" t="s">
        <v>2</v>
      </c>
      <c r="B15" t="s">
        <v>3</v>
      </c>
      <c r="C15">
        <v>13763</v>
      </c>
      <c r="D15">
        <v>15232</v>
      </c>
      <c r="E15">
        <v>11853</v>
      </c>
      <c r="F15">
        <v>23808</v>
      </c>
      <c r="G15">
        <v>16585</v>
      </c>
      <c r="H15">
        <v>22851</v>
      </c>
      <c r="I15">
        <v>11291</v>
      </c>
      <c r="J15">
        <v>13581</v>
      </c>
      <c r="K15">
        <v>21649</v>
      </c>
      <c r="L15">
        <v>17554</v>
      </c>
      <c r="M15">
        <v>17280</v>
      </c>
      <c r="N15">
        <v>11636</v>
      </c>
      <c r="O15">
        <v>13696</v>
      </c>
      <c r="P15">
        <v>21191</v>
      </c>
    </row>
    <row r="16" spans="1:16" x14ac:dyDescent="0.25">
      <c r="A16" t="s">
        <v>4</v>
      </c>
      <c r="B16" t="s">
        <v>5</v>
      </c>
      <c r="C16">
        <v>41.106608420635993</v>
      </c>
      <c r="D16">
        <v>58.286930019396912</v>
      </c>
      <c r="E16">
        <v>55.080370696865842</v>
      </c>
      <c r="F16">
        <v>41.54436253749968</v>
      </c>
      <c r="G16">
        <v>48.359393927098353</v>
      </c>
      <c r="H16">
        <v>67.247976578999612</v>
      </c>
      <c r="I16">
        <v>47.186856720009168</v>
      </c>
      <c r="J16">
        <v>44.346846162736703</v>
      </c>
      <c r="K16">
        <v>54.683582808326889</v>
      </c>
      <c r="L16">
        <v>69.569513623318016</v>
      </c>
      <c r="M16">
        <v>47.26165814534501</v>
      </c>
      <c r="N16">
        <v>60.164066422176361</v>
      </c>
      <c r="O16">
        <v>62.848588459861531</v>
      </c>
      <c r="P16">
        <v>47.129126319771991</v>
      </c>
    </row>
    <row r="17" spans="1:16" x14ac:dyDescent="0.25">
      <c r="A17" t="s">
        <v>6</v>
      </c>
      <c r="B17" t="s">
        <v>3</v>
      </c>
      <c r="C17">
        <v>71.846490458355788</v>
      </c>
      <c r="D17">
        <v>61.033493981577593</v>
      </c>
      <c r="E17">
        <v>68.969174917807379</v>
      </c>
      <c r="F17">
        <v>69.005891322826841</v>
      </c>
      <c r="G17">
        <v>66.073240522242756</v>
      </c>
      <c r="H17">
        <v>52.70869310163225</v>
      </c>
      <c r="I17">
        <v>75.05907486767714</v>
      </c>
      <c r="J17">
        <v>59.623401949152083</v>
      </c>
      <c r="K17">
        <v>55.595555311995618</v>
      </c>
      <c r="L17">
        <v>51.223254246642917</v>
      </c>
      <c r="M17">
        <v>67.726788295647253</v>
      </c>
      <c r="N17">
        <v>70.326930855268472</v>
      </c>
      <c r="O17">
        <v>50.497634867835693</v>
      </c>
      <c r="P17">
        <v>65.362791748978424</v>
      </c>
    </row>
    <row r="18" spans="1:16" x14ac:dyDescent="0.25">
      <c r="A18" t="s">
        <v>7</v>
      </c>
      <c r="B18" t="s">
        <v>3</v>
      </c>
      <c r="C18">
        <v>1.905983100791752</v>
      </c>
      <c r="D18">
        <v>3.580691161637799</v>
      </c>
      <c r="E18">
        <v>1.697465716019966</v>
      </c>
      <c r="F18">
        <v>3.7637509524098638</v>
      </c>
      <c r="G18">
        <v>2.5469413852021501</v>
      </c>
      <c r="H18">
        <v>4.7469199549469376</v>
      </c>
      <c r="I18">
        <v>1.550083776583973</v>
      </c>
      <c r="J18">
        <v>2.364265404201034</v>
      </c>
      <c r="K18">
        <v>1.4538940849623561</v>
      </c>
      <c r="L18">
        <v>4.6987744731142511</v>
      </c>
      <c r="M18">
        <v>4.5093574135239241</v>
      </c>
      <c r="N18">
        <v>2.031766510860622</v>
      </c>
      <c r="O18">
        <v>3.6399361841367162</v>
      </c>
      <c r="P18">
        <v>4.2688888008048629</v>
      </c>
    </row>
    <row r="19" spans="1:16" x14ac:dyDescent="0.25">
      <c r="A19" t="s">
        <v>8</v>
      </c>
      <c r="B19" t="s">
        <v>3</v>
      </c>
      <c r="C19">
        <v>119</v>
      </c>
      <c r="D19">
        <v>172</v>
      </c>
      <c r="E19">
        <v>61</v>
      </c>
      <c r="F19">
        <v>188</v>
      </c>
      <c r="G19">
        <v>107</v>
      </c>
      <c r="H19">
        <v>199</v>
      </c>
      <c r="I19">
        <v>256</v>
      </c>
      <c r="J19">
        <v>96</v>
      </c>
      <c r="K19">
        <v>219</v>
      </c>
      <c r="L19">
        <v>68</v>
      </c>
      <c r="M19">
        <v>292</v>
      </c>
      <c r="N19">
        <v>158</v>
      </c>
      <c r="O19">
        <v>206</v>
      </c>
      <c r="P19">
        <v>107</v>
      </c>
    </row>
    <row r="20" spans="1:16" x14ac:dyDescent="0.25">
      <c r="A20" t="s">
        <v>9</v>
      </c>
      <c r="B20" t="s">
        <v>3</v>
      </c>
      <c r="C20">
        <v>2436</v>
      </c>
      <c r="D20">
        <v>2718</v>
      </c>
      <c r="E20">
        <v>1311</v>
      </c>
      <c r="F20">
        <v>4360</v>
      </c>
      <c r="G20">
        <v>2946</v>
      </c>
      <c r="H20">
        <v>4349</v>
      </c>
      <c r="I20">
        <v>1894</v>
      </c>
      <c r="J20">
        <v>2041</v>
      </c>
      <c r="K20">
        <v>2968</v>
      </c>
      <c r="L20">
        <v>1857</v>
      </c>
      <c r="M20">
        <v>3300</v>
      </c>
      <c r="N20">
        <v>2281</v>
      </c>
      <c r="O20">
        <v>1268</v>
      </c>
      <c r="P20">
        <v>2030</v>
      </c>
    </row>
    <row r="21" spans="1:16" x14ac:dyDescent="0.25">
      <c r="A21" t="s">
        <v>10</v>
      </c>
      <c r="B21" t="s">
        <v>3</v>
      </c>
      <c r="C21">
        <v>143356.40829888379</v>
      </c>
      <c r="D21">
        <v>151865.34565092961</v>
      </c>
      <c r="E21">
        <v>130518.6986786229</v>
      </c>
      <c r="F21">
        <v>148562.72813385809</v>
      </c>
      <c r="G21">
        <v>63180.001696905958</v>
      </c>
      <c r="H21">
        <v>258815.5013866206</v>
      </c>
      <c r="I21">
        <v>64975.216901215746</v>
      </c>
      <c r="J21">
        <v>100657.0231466894</v>
      </c>
      <c r="K21">
        <v>236055.84899455009</v>
      </c>
      <c r="L21">
        <v>144242.83514689631</v>
      </c>
      <c r="M21">
        <v>147328.04904903079</v>
      </c>
      <c r="N21">
        <v>144622.74127165799</v>
      </c>
      <c r="O21">
        <v>76974.099954523816</v>
      </c>
      <c r="P21">
        <v>143940.41719338941</v>
      </c>
    </row>
    <row r="22" spans="1:16" x14ac:dyDescent="0.25">
      <c r="A22" t="s">
        <v>11</v>
      </c>
      <c r="B22" t="s">
        <v>3</v>
      </c>
      <c r="C22">
        <v>1145</v>
      </c>
      <c r="D22">
        <v>1793</v>
      </c>
      <c r="E22">
        <v>3536</v>
      </c>
      <c r="F22">
        <v>662</v>
      </c>
      <c r="G22">
        <v>2585</v>
      </c>
      <c r="H22">
        <v>3454</v>
      </c>
      <c r="I22">
        <v>325</v>
      </c>
      <c r="J22">
        <v>4993</v>
      </c>
      <c r="K22">
        <v>1059</v>
      </c>
      <c r="L22">
        <v>4648</v>
      </c>
      <c r="M22">
        <v>3167</v>
      </c>
      <c r="N22">
        <v>915</v>
      </c>
      <c r="O22">
        <v>4854</v>
      </c>
      <c r="P22">
        <v>4742</v>
      </c>
    </row>
    <row r="23" spans="1:16" x14ac:dyDescent="0.25">
      <c r="A23" t="s">
        <v>12</v>
      </c>
      <c r="B23" t="s">
        <v>3</v>
      </c>
      <c r="C23">
        <v>3220</v>
      </c>
      <c r="D23">
        <v>116</v>
      </c>
      <c r="E23">
        <v>1343</v>
      </c>
      <c r="F23">
        <v>2305</v>
      </c>
      <c r="G23">
        <v>2624</v>
      </c>
      <c r="H23">
        <v>1169</v>
      </c>
      <c r="I23">
        <v>3544</v>
      </c>
      <c r="J23">
        <v>2665</v>
      </c>
      <c r="K23">
        <v>1160</v>
      </c>
      <c r="L23">
        <v>2427</v>
      </c>
      <c r="M23">
        <v>3520</v>
      </c>
      <c r="N23">
        <v>401</v>
      </c>
      <c r="O23">
        <v>4376</v>
      </c>
      <c r="P23">
        <v>706</v>
      </c>
    </row>
    <row r="24" spans="1:16" x14ac:dyDescent="0.25">
      <c r="A24" t="s">
        <v>13</v>
      </c>
      <c r="B24" t="s">
        <v>3</v>
      </c>
      <c r="C24">
        <v>3270</v>
      </c>
      <c r="D24">
        <v>799</v>
      </c>
      <c r="E24">
        <v>1239</v>
      </c>
      <c r="F24">
        <v>290</v>
      </c>
      <c r="G24">
        <v>2400</v>
      </c>
      <c r="H24">
        <v>1080</v>
      </c>
      <c r="I24">
        <v>3075</v>
      </c>
      <c r="J24">
        <v>1284</v>
      </c>
      <c r="K24">
        <v>3427</v>
      </c>
      <c r="L24">
        <v>3494</v>
      </c>
      <c r="M24">
        <v>227</v>
      </c>
      <c r="N24">
        <v>2165</v>
      </c>
      <c r="O24">
        <v>1916</v>
      </c>
      <c r="P24">
        <v>669</v>
      </c>
    </row>
    <row r="25" spans="1:16" x14ac:dyDescent="0.25">
      <c r="A25" t="s">
        <v>12</v>
      </c>
      <c r="B25" t="s">
        <v>3</v>
      </c>
      <c r="C25">
        <v>4441</v>
      </c>
      <c r="D25">
        <v>2906</v>
      </c>
      <c r="E25">
        <v>637</v>
      </c>
      <c r="F25">
        <v>1941</v>
      </c>
      <c r="G25">
        <v>2555</v>
      </c>
      <c r="H25">
        <v>624</v>
      </c>
      <c r="I25">
        <v>3050</v>
      </c>
      <c r="J25">
        <v>4231</v>
      </c>
      <c r="K25">
        <v>4880</v>
      </c>
      <c r="L25">
        <v>4215</v>
      </c>
      <c r="M25">
        <v>2468</v>
      </c>
      <c r="N25">
        <v>3947</v>
      </c>
      <c r="O25">
        <v>4595</v>
      </c>
      <c r="P25">
        <v>2801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5E0B9252-51FC-48B1-9E90-6AC1D76598B8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3Triangles" iconId="1"/>
              <x14:cfIcon iconSet="3Triangles" iconId="2"/>
            </x14:iconSet>
          </x14:cfRule>
          <xm:sqref>D2:D11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9"/>
  <sheetViews>
    <sheetView showGridLines="0" showRowColHeaders="0" tabSelected="1" zoomScaleNormal="100" workbookViewId="0">
      <selection activeCell="T10" sqref="T10"/>
    </sheetView>
  </sheetViews>
  <sheetFormatPr defaultRowHeight="15" x14ac:dyDescent="0.25"/>
  <cols>
    <col min="1" max="1" width="4.28515625" customWidth="1"/>
    <col min="6" max="6" width="5" bestFit="1" customWidth="1"/>
    <col min="7" max="7" width="4" customWidth="1"/>
    <col min="10" max="10" width="6.5703125" bestFit="1" customWidth="1"/>
    <col min="11" max="11" width="4" customWidth="1"/>
    <col min="14" max="14" width="6" bestFit="1" customWidth="1"/>
    <col min="15" max="15" width="4" customWidth="1"/>
    <col min="18" max="18" width="6" bestFit="1" customWidth="1"/>
  </cols>
  <sheetData>
    <row r="1" spans="2:18" ht="28.5" x14ac:dyDescent="0.45">
      <c r="B1" s="10" t="s">
        <v>36</v>
      </c>
      <c r="C1" s="11"/>
      <c r="D1" s="11"/>
      <c r="E1" s="11"/>
    </row>
    <row r="3" spans="2:18" ht="18.75" x14ac:dyDescent="0.3">
      <c r="D3" s="12" t="s">
        <v>37</v>
      </c>
      <c r="E3" s="12"/>
      <c r="F3" s="12"/>
      <c r="H3" s="12" t="s">
        <v>39</v>
      </c>
      <c r="I3" s="12"/>
      <c r="J3" s="12"/>
      <c r="L3" s="12" t="s">
        <v>7</v>
      </c>
      <c r="M3" s="12"/>
      <c r="N3" s="12"/>
      <c r="P3" s="12" t="s">
        <v>34</v>
      </c>
      <c r="Q3" s="12"/>
      <c r="R3" s="12"/>
    </row>
    <row r="4" spans="2:18" ht="23.25" x14ac:dyDescent="0.25">
      <c r="B4" s="16" t="s">
        <v>32</v>
      </c>
      <c r="C4" s="16"/>
      <c r="D4" s="13">
        <f>Sheet1!J2</f>
        <v>993821.01475673774</v>
      </c>
      <c r="E4" s="13"/>
      <c r="F4" s="5">
        <f>Sheet1!J4</f>
        <v>3.3858314455856631E-2</v>
      </c>
      <c r="H4" s="19">
        <f>Sheet1!K2</f>
        <v>15745</v>
      </c>
      <c r="I4" s="19"/>
      <c r="J4" s="5">
        <f>Sheet1!K4</f>
        <v>-0.21330068951733783</v>
      </c>
      <c r="L4" s="20">
        <f>Sheet1!L2</f>
        <v>22.966882871603765</v>
      </c>
      <c r="M4" s="20"/>
      <c r="N4" s="5">
        <f>Sheet1!L4</f>
        <v>0.16042204555335071</v>
      </c>
      <c r="P4" s="19">
        <f>Sheet1!M2</f>
        <v>24378</v>
      </c>
      <c r="Q4" s="19"/>
      <c r="R4" s="5">
        <f>Sheet1!M4</f>
        <v>0.8057777777777777</v>
      </c>
    </row>
    <row r="5" spans="2:18" x14ac:dyDescent="0.25">
      <c r="B5" s="17" t="s">
        <v>38</v>
      </c>
      <c r="C5" s="17"/>
      <c r="D5" s="14">
        <f>Sheet1!J3</f>
        <v>961273.90074703668</v>
      </c>
      <c r="E5" s="14"/>
      <c r="F5" s="6"/>
      <c r="H5" s="18">
        <f>Sheet1!K3</f>
        <v>20014</v>
      </c>
      <c r="I5" s="18"/>
      <c r="J5" s="6"/>
      <c r="L5" s="21">
        <f>Sheet1!L3</f>
        <v>19.79183604759244</v>
      </c>
      <c r="M5" s="21"/>
      <c r="N5" s="6"/>
      <c r="P5" s="18">
        <f>Sheet1!M3</f>
        <v>13500</v>
      </c>
      <c r="Q5" s="18"/>
      <c r="R5" s="6"/>
    </row>
    <row r="6" spans="2:18" ht="15.75" x14ac:dyDescent="0.25">
      <c r="B6" s="31" t="s">
        <v>30</v>
      </c>
      <c r="C6" s="31"/>
      <c r="D6" s="15"/>
      <c r="E6" s="15"/>
      <c r="F6" s="15"/>
      <c r="H6" s="15"/>
      <c r="I6" s="15"/>
      <c r="J6" s="15"/>
      <c r="L6" s="15"/>
      <c r="M6" s="15"/>
      <c r="N6" s="15"/>
      <c r="P6" s="15"/>
      <c r="Q6" s="15"/>
      <c r="R6" s="15"/>
    </row>
    <row r="8" spans="2:18" ht="15.75" thickBot="1" x14ac:dyDescent="0.3"/>
    <row r="9" spans="2:18" ht="15.75" thickBot="1" x14ac:dyDescent="0.3">
      <c r="D9" s="22" t="str">
        <f>Sheet1!A1</f>
        <v>KPI</v>
      </c>
      <c r="E9" s="23"/>
      <c r="F9" s="23"/>
      <c r="G9" s="23"/>
      <c r="H9" s="23" t="str">
        <f>Sheet1!B1</f>
        <v>This Week</v>
      </c>
      <c r="I9" s="23"/>
      <c r="J9" s="23" t="s">
        <v>40</v>
      </c>
      <c r="K9" s="23"/>
      <c r="L9" s="8" t="str">
        <f>Sheet1!D1</f>
        <v>Var</v>
      </c>
      <c r="M9" s="23" t="s">
        <v>30</v>
      </c>
      <c r="N9" s="32"/>
    </row>
    <row r="10" spans="2:18" ht="16.5" thickBot="1" x14ac:dyDescent="0.3">
      <c r="D10" s="24" t="str">
        <f>Sheet1!A2</f>
        <v>Pageviews</v>
      </c>
      <c r="E10" s="24"/>
      <c r="F10" s="24"/>
      <c r="G10" s="24"/>
      <c r="H10" s="25">
        <f>Sheet1!B2</f>
        <v>116587</v>
      </c>
      <c r="I10" s="25"/>
      <c r="J10" s="26">
        <f>Sheet1!C2</f>
        <v>115383</v>
      </c>
      <c r="K10" s="26"/>
      <c r="L10" s="9">
        <f>Sheet1!D2</f>
        <v>1.0434812754045231E-2</v>
      </c>
      <c r="M10" s="33"/>
      <c r="N10" s="33"/>
      <c r="O10" s="7"/>
    </row>
    <row r="11" spans="2:18" ht="16.5" thickBot="1" x14ac:dyDescent="0.3">
      <c r="D11" s="24" t="str">
        <f>Sheet1!A3</f>
        <v>New Sessions</v>
      </c>
      <c r="E11" s="24"/>
      <c r="F11" s="24"/>
      <c r="G11" s="24"/>
      <c r="H11" s="28">
        <f>Sheet1!B3</f>
        <v>420.35635727552051</v>
      </c>
      <c r="I11" s="28"/>
      <c r="J11" s="26">
        <f>Sheet1!C3</f>
        <v>464.69605917211982</v>
      </c>
      <c r="K11" s="26"/>
      <c r="L11" s="9">
        <f>Sheet1!D3</f>
        <v>-9.5416565347235305E-2</v>
      </c>
      <c r="M11" s="33"/>
      <c r="N11" s="33"/>
    </row>
    <row r="12" spans="2:18" ht="16.5" thickBot="1" x14ac:dyDescent="0.3">
      <c r="D12" s="24" t="str">
        <f>Sheet1!A4</f>
        <v>Conversion Rate</v>
      </c>
      <c r="E12" s="24"/>
      <c r="F12" s="24"/>
      <c r="G12" s="24"/>
      <c r="H12" s="29">
        <f>Sheet1!B4</f>
        <v>22.966882871603765</v>
      </c>
      <c r="I12" s="29"/>
      <c r="J12" s="26">
        <f>Sheet1!C4</f>
        <v>19.79183604759244</v>
      </c>
      <c r="K12" s="26"/>
      <c r="L12" s="9">
        <f>Sheet1!D4</f>
        <v>0.16042204555335071</v>
      </c>
      <c r="M12" s="33"/>
      <c r="N12" s="33"/>
    </row>
    <row r="13" spans="2:18" ht="16.5" thickBot="1" x14ac:dyDescent="0.3">
      <c r="D13" s="24" t="str">
        <f>Sheet1!A5</f>
        <v>Average Session Duration</v>
      </c>
      <c r="E13" s="24"/>
      <c r="F13" s="24"/>
      <c r="G13" s="24"/>
      <c r="H13" s="25">
        <f>Sheet1!B5</f>
        <v>1146</v>
      </c>
      <c r="I13" s="25"/>
      <c r="J13" s="26">
        <f>Sheet1!C5</f>
        <v>1102</v>
      </c>
      <c r="K13" s="26"/>
      <c r="L13" s="9">
        <f>Sheet1!D5</f>
        <v>3.9927404718693271E-2</v>
      </c>
      <c r="M13" s="33"/>
      <c r="N13" s="33"/>
    </row>
    <row r="14" spans="2:18" ht="16.5" thickBot="1" x14ac:dyDescent="0.3">
      <c r="D14" s="24" t="str">
        <f>Sheet1!A6</f>
        <v>Number of Leads Collected</v>
      </c>
      <c r="E14" s="24"/>
      <c r="F14" s="24"/>
      <c r="G14" s="24"/>
      <c r="H14" s="25">
        <f>Sheet1!B6</f>
        <v>15745</v>
      </c>
      <c r="I14" s="25"/>
      <c r="J14" s="26">
        <f>Sheet1!C6</f>
        <v>20014</v>
      </c>
      <c r="K14" s="26"/>
      <c r="L14" s="9">
        <f>Sheet1!D6</f>
        <v>-0.21330068951733783</v>
      </c>
      <c r="M14" s="33"/>
      <c r="N14" s="33"/>
    </row>
    <row r="15" spans="2:18" ht="16.5" thickBot="1" x14ac:dyDescent="0.3">
      <c r="D15" s="24" t="str">
        <f>Sheet1!A7</f>
        <v>Revenue</v>
      </c>
      <c r="E15" s="24"/>
      <c r="F15" s="24"/>
      <c r="G15" s="24"/>
      <c r="H15" s="30">
        <f>Sheet1!B7</f>
        <v>993821.01475673774</v>
      </c>
      <c r="I15" s="30"/>
      <c r="J15" s="27">
        <f>Sheet1!C7</f>
        <v>961273.90074703668</v>
      </c>
      <c r="K15" s="27"/>
      <c r="L15" s="9">
        <f>Sheet1!D7</f>
        <v>3.3858314455856631E-2</v>
      </c>
      <c r="M15" s="33"/>
      <c r="N15" s="33"/>
    </row>
    <row r="16" spans="2:18" ht="16.5" thickBot="1" x14ac:dyDescent="0.3">
      <c r="D16" s="24" t="str">
        <f>Sheet1!A8</f>
        <v>Email Subscriptions</v>
      </c>
      <c r="E16" s="24"/>
      <c r="F16" s="24"/>
      <c r="G16" s="24"/>
      <c r="H16" s="25">
        <f>Sheet1!B8</f>
        <v>24378</v>
      </c>
      <c r="I16" s="25"/>
      <c r="J16" s="26">
        <f>Sheet1!C8</f>
        <v>13500</v>
      </c>
      <c r="K16" s="26"/>
      <c r="L16" s="9">
        <f>Sheet1!D8</f>
        <v>0.8057777777777777</v>
      </c>
      <c r="M16" s="33"/>
      <c r="N16" s="33"/>
    </row>
    <row r="17" spans="4:14" ht="16.5" thickBot="1" x14ac:dyDescent="0.3">
      <c r="D17" s="24" t="str">
        <f>Sheet1!A9</f>
        <v>Download Counts</v>
      </c>
      <c r="E17" s="24"/>
      <c r="F17" s="24"/>
      <c r="G17" s="24"/>
      <c r="H17" s="25">
        <f>Sheet1!B9</f>
        <v>15255</v>
      </c>
      <c r="I17" s="25"/>
      <c r="J17" s="26">
        <f>Sheet1!C9</f>
        <v>14321</v>
      </c>
      <c r="K17" s="26"/>
      <c r="L17" s="9">
        <f>Sheet1!D9</f>
        <v>6.5218909294043614E-2</v>
      </c>
      <c r="M17" s="33"/>
      <c r="N17" s="33"/>
    </row>
    <row r="18" spans="4:14" ht="16.5" thickBot="1" x14ac:dyDescent="0.3">
      <c r="D18" s="24" t="str">
        <f>Sheet1!A10</f>
        <v>Form Submissions</v>
      </c>
      <c r="E18" s="24"/>
      <c r="F18" s="24"/>
      <c r="G18" s="24"/>
      <c r="H18" s="25">
        <f>Sheet1!B10</f>
        <v>13182</v>
      </c>
      <c r="I18" s="25"/>
      <c r="J18" s="26">
        <f>Sheet1!C10</f>
        <v>12153</v>
      </c>
      <c r="K18" s="26"/>
      <c r="L18" s="9">
        <f>Sheet1!D10</f>
        <v>8.4670451740310959E-2</v>
      </c>
      <c r="M18" s="33"/>
      <c r="N18" s="33"/>
    </row>
    <row r="19" spans="4:14" ht="16.5" thickBot="1" x14ac:dyDescent="0.3">
      <c r="D19" s="24" t="str">
        <f>Sheet1!A11</f>
        <v>Download Counts</v>
      </c>
      <c r="E19" s="24"/>
      <c r="F19" s="24"/>
      <c r="G19" s="24"/>
      <c r="H19" s="25">
        <f>Sheet1!B11</f>
        <v>27137</v>
      </c>
      <c r="I19" s="25"/>
      <c r="J19" s="26">
        <f>Sheet1!C11</f>
        <v>16154</v>
      </c>
      <c r="K19" s="26"/>
      <c r="L19" s="9">
        <f>Sheet1!D11</f>
        <v>0.67989352482357313</v>
      </c>
      <c r="M19" s="33"/>
      <c r="N19" s="33"/>
    </row>
  </sheetData>
  <mergeCells count="64">
    <mergeCell ref="H18:I18"/>
    <mergeCell ref="H19:I19"/>
    <mergeCell ref="J9:K9"/>
    <mergeCell ref="J10:K10"/>
    <mergeCell ref="J11:K11"/>
    <mergeCell ref="J12:K12"/>
    <mergeCell ref="J17:K17"/>
    <mergeCell ref="J18:K18"/>
    <mergeCell ref="J19:K19"/>
    <mergeCell ref="M9:N9"/>
    <mergeCell ref="M10:N10"/>
    <mergeCell ref="M11:N11"/>
    <mergeCell ref="M12:N12"/>
    <mergeCell ref="M13:N13"/>
    <mergeCell ref="M14:N14"/>
    <mergeCell ref="M15:N15"/>
    <mergeCell ref="M16:N16"/>
    <mergeCell ref="M17:N17"/>
    <mergeCell ref="M18:N18"/>
    <mergeCell ref="M19:N19"/>
    <mergeCell ref="J14:K14"/>
    <mergeCell ref="J15:K15"/>
    <mergeCell ref="J16:K16"/>
    <mergeCell ref="H9:I9"/>
    <mergeCell ref="H10:I10"/>
    <mergeCell ref="H11:I11"/>
    <mergeCell ref="H12:I12"/>
    <mergeCell ref="H13:I13"/>
    <mergeCell ref="H14:I14"/>
    <mergeCell ref="H15:I15"/>
    <mergeCell ref="H16:I16"/>
    <mergeCell ref="P6:R6"/>
    <mergeCell ref="D9:G9"/>
    <mergeCell ref="D10:G10"/>
    <mergeCell ref="H6:J6"/>
    <mergeCell ref="D19:G19"/>
    <mergeCell ref="D18:G18"/>
    <mergeCell ref="D17:G17"/>
    <mergeCell ref="D14:G14"/>
    <mergeCell ref="L6:N6"/>
    <mergeCell ref="H17:I17"/>
    <mergeCell ref="D11:G11"/>
    <mergeCell ref="D12:G12"/>
    <mergeCell ref="D15:G15"/>
    <mergeCell ref="D16:G16"/>
    <mergeCell ref="D13:G13"/>
    <mergeCell ref="J13:K13"/>
    <mergeCell ref="H3:J3"/>
    <mergeCell ref="L3:N3"/>
    <mergeCell ref="P3:R3"/>
    <mergeCell ref="H5:I5"/>
    <mergeCell ref="H4:I4"/>
    <mergeCell ref="L4:M4"/>
    <mergeCell ref="L5:M5"/>
    <mergeCell ref="P4:Q4"/>
    <mergeCell ref="P5:Q5"/>
    <mergeCell ref="B1:E1"/>
    <mergeCell ref="D3:F3"/>
    <mergeCell ref="D4:E4"/>
    <mergeCell ref="D5:E5"/>
    <mergeCell ref="D6:F6"/>
    <mergeCell ref="B4:C4"/>
    <mergeCell ref="B5:C5"/>
    <mergeCell ref="B6:C6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8177B536-242D-488A-8060-D1DB48902041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3TrafficLights1" iconId="1"/>
              <x14:cfIcon iconSet="3Triangles" iconId="2"/>
            </x14:iconSet>
          </x14:cfRule>
          <xm:sqref>F4</xm:sqref>
        </x14:conditionalFormatting>
        <x14:conditionalFormatting xmlns:xm="http://schemas.microsoft.com/office/excel/2006/main">
          <x14:cfRule type="iconSet" priority="7" id="{81BFB069-E5AE-4969-82A7-985C49366744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3TrafficLights1" iconId="1"/>
              <x14:cfIcon iconSet="3Triangle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3" id="{8748B18B-00FB-4B30-AA1C-BE207C483FED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3TrafficLights1" iconId="1"/>
              <x14:cfIcon iconSet="3Triangles" iconId="2"/>
            </x14:iconSet>
          </x14:cfRule>
          <xm:sqref>N4</xm:sqref>
        </x14:conditionalFormatting>
        <x14:conditionalFormatting xmlns:xm="http://schemas.microsoft.com/office/excel/2006/main">
          <x14:cfRule type="iconSet" priority="2" id="{04363A30-2266-4392-B4EA-C906DD30A210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3TrafficLights1" iconId="1"/>
              <x14:cfIcon iconSet="3Triangles" iconId="2"/>
            </x14:iconSet>
          </x14:cfRule>
          <xm:sqref>R4</xm:sqref>
        </x14:conditionalFormatting>
        <x14:conditionalFormatting xmlns:xm="http://schemas.microsoft.com/office/excel/2006/main">
          <x14:cfRule type="iconSet" priority="1" id="{4DFD7642-CFF4-4DF3-83BC-6A0D81E9AE41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3TrafficLights1" iconId="1"/>
              <x14:cfIcon iconSet="3Triangles" iconId="2"/>
            </x14:iconSet>
          </x14:cfRule>
          <xm:sqref>L10:L19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lineWeight="2.25" displayEmptyCellsAs="gap" high="1" low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00B050"/>
          <x14:colorLow rgb="FFD00000"/>
          <x14:sparklines>
            <x14:sparkline>
              <xm:f>Sheet1!C22:P22</xm:f>
              <xm:sqref>P6</xm:sqref>
            </x14:sparkline>
          </x14:sparklines>
        </x14:sparklineGroup>
        <x14:sparklineGroup type="column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Sheet1!C17:P17</xm:f>
              <xm:sqref>M11</xm:sqref>
            </x14:sparkline>
            <x14:sparkline>
              <xm:f>Sheet1!C18:P18</xm:f>
              <xm:sqref>M12</xm:sqref>
            </x14:sparkline>
            <x14:sparkline>
              <xm:f>Sheet1!C19:P19</xm:f>
              <xm:sqref>M13</xm:sqref>
            </x14:sparkline>
            <x14:sparkline>
              <xm:f>Sheet1!C20:P20</xm:f>
              <xm:sqref>M14</xm:sqref>
            </x14:sparkline>
            <x14:sparkline>
              <xm:f>Sheet1!C21:P21</xm:f>
              <xm:sqref>M15</xm:sqref>
            </x14:sparkline>
            <x14:sparkline>
              <xm:f>Sheet1!C22:P22</xm:f>
              <xm:sqref>M16</xm:sqref>
            </x14:sparkline>
            <x14:sparkline>
              <xm:f>Sheet1!C23:P23</xm:f>
              <xm:sqref>M17</xm:sqref>
            </x14:sparkline>
            <x14:sparkline>
              <xm:f>Sheet1!C24:P24</xm:f>
              <xm:sqref>M18</xm:sqref>
            </x14:sparkline>
            <x14:sparkline>
              <xm:f>Sheet1!C25:P25</xm:f>
              <xm:sqref>M19</xm:sqref>
            </x14:sparkline>
          </x14:sparklines>
        </x14:sparklineGroup>
        <x14:sparklineGroup lineWeight="2.25" displayEmptyCellsAs="gap" high="1" low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00B050"/>
          <x14:colorLow rgb="FFD00000"/>
          <x14:sparklines>
            <x14:sparkline>
              <xm:f>Sheet1!C20:P20</xm:f>
              <xm:sqref>H6</xm:sqref>
            </x14:sparkline>
          </x14:sparklines>
        </x14:sparklineGroup>
        <x14:sparklineGroup lineWeight="2.25" displayEmptyCellsAs="gap" high="1" low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rgb="FF00B050"/>
          <x14:colorLow rgb="FFFF0000"/>
          <x14:sparklines>
            <x14:sparkline>
              <xm:f>Sheet2!C8:P8</xm:f>
              <xm:sqref>D6</xm:sqref>
            </x14:sparkline>
          </x14:sparklines>
        </x14:sparklineGroup>
        <x14:sparklineGroup lineWeight="2.25" displayEmptyCellsAs="gap" high="1" low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00B050"/>
          <x14:colorLow rgb="FFD00000"/>
          <x14:sparklines>
            <x14:sparkline>
              <xm:f>Sheet1!C18:P18</xm:f>
              <xm:sqref>L6</xm:sqref>
            </x14:sparkline>
          </x14:sparklines>
        </x14:sparklineGroup>
        <x14:sparklineGroup type="column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Sheet1!C15:P15</xm:f>
              <xm:sqref>M10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"/>
  <sheetViews>
    <sheetView topLeftCell="L1" workbookViewId="0">
      <selection activeCell="P12" sqref="A1:P12"/>
    </sheetView>
  </sheetViews>
  <sheetFormatPr defaultRowHeight="15" x14ac:dyDescent="0.25"/>
  <cols>
    <col min="1" max="1" width="25.28515625" bestFit="1" customWidth="1"/>
    <col min="2" max="2" width="11.28515625" bestFit="1" customWidth="1"/>
    <col min="3" max="3" width="12.7109375" bestFit="1" customWidth="1"/>
    <col min="4" max="16" width="20.5703125" bestFit="1" customWidth="1"/>
  </cols>
  <sheetData>
    <row r="1" spans="1:16" x14ac:dyDescent="0.25">
      <c r="A1" s="1" t="s">
        <v>0</v>
      </c>
      <c r="B1" s="1" t="s">
        <v>1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</row>
    <row r="2" spans="1:16" x14ac:dyDescent="0.25">
      <c r="A2" s="1" t="s">
        <v>2</v>
      </c>
      <c r="B2" s="1" t="s">
        <v>3</v>
      </c>
      <c r="C2">
        <v>13763</v>
      </c>
      <c r="D2" s="1">
        <v>15232</v>
      </c>
      <c r="E2" s="1">
        <v>11853</v>
      </c>
      <c r="F2" s="1">
        <v>23808</v>
      </c>
      <c r="G2" s="1">
        <v>16585</v>
      </c>
      <c r="H2" s="1">
        <v>22851</v>
      </c>
      <c r="I2" s="1">
        <v>11291</v>
      </c>
      <c r="J2" s="1">
        <v>13581</v>
      </c>
      <c r="K2" s="1">
        <v>21649</v>
      </c>
      <c r="L2" s="1">
        <v>17554</v>
      </c>
      <c r="M2" s="1">
        <v>17280</v>
      </c>
      <c r="N2" s="1">
        <v>11636</v>
      </c>
      <c r="O2" s="1">
        <v>13696</v>
      </c>
      <c r="P2" s="1">
        <v>21191</v>
      </c>
    </row>
    <row r="3" spans="1:16" x14ac:dyDescent="0.25">
      <c r="A3" s="1" t="s">
        <v>4</v>
      </c>
      <c r="B3" s="1" t="s">
        <v>5</v>
      </c>
      <c r="C3">
        <v>41.106608420635993</v>
      </c>
      <c r="D3" s="1">
        <v>58.286930019396912</v>
      </c>
      <c r="E3" s="1">
        <v>55.080370696865842</v>
      </c>
      <c r="F3" s="1">
        <v>41.54436253749968</v>
      </c>
      <c r="G3" s="1">
        <v>48.359393927098353</v>
      </c>
      <c r="H3" s="1">
        <v>67.247976578999612</v>
      </c>
      <c r="I3" s="1">
        <v>47.186856720009168</v>
      </c>
      <c r="J3" s="1">
        <v>44.346846162736703</v>
      </c>
      <c r="K3" s="1">
        <v>54.683582808326889</v>
      </c>
      <c r="L3" s="1">
        <v>69.569513623318016</v>
      </c>
      <c r="M3" s="1">
        <v>47.26165814534501</v>
      </c>
      <c r="N3" s="1">
        <v>60.164066422176361</v>
      </c>
      <c r="O3" s="1">
        <v>62.848588459861531</v>
      </c>
      <c r="P3" s="1">
        <v>47.129126319771991</v>
      </c>
    </row>
    <row r="4" spans="1:16" x14ac:dyDescent="0.25">
      <c r="A4" s="1" t="s">
        <v>6</v>
      </c>
      <c r="B4" s="1" t="s">
        <v>3</v>
      </c>
      <c r="C4">
        <v>71.846490458355788</v>
      </c>
      <c r="D4" s="1">
        <v>61.033493981577593</v>
      </c>
      <c r="E4" s="1">
        <v>68.969174917807379</v>
      </c>
      <c r="F4" s="1">
        <v>69.005891322826841</v>
      </c>
      <c r="G4" s="1">
        <v>66.073240522242756</v>
      </c>
      <c r="H4" s="1">
        <v>52.70869310163225</v>
      </c>
      <c r="I4" s="1">
        <v>75.05907486767714</v>
      </c>
      <c r="J4" s="1">
        <v>59.623401949152083</v>
      </c>
      <c r="K4" s="1">
        <v>55.595555311995618</v>
      </c>
      <c r="L4" s="1">
        <v>51.223254246642917</v>
      </c>
      <c r="M4" s="1">
        <v>67.726788295647253</v>
      </c>
      <c r="N4" s="1">
        <v>70.326930855268472</v>
      </c>
      <c r="O4" s="1">
        <v>50.497634867835693</v>
      </c>
      <c r="P4" s="1">
        <v>65.362791748978424</v>
      </c>
    </row>
    <row r="5" spans="1:16" x14ac:dyDescent="0.25">
      <c r="A5" s="1" t="s">
        <v>7</v>
      </c>
      <c r="B5" s="1" t="s">
        <v>3</v>
      </c>
      <c r="C5">
        <v>1.905983100791752</v>
      </c>
      <c r="D5" s="1">
        <v>3.580691161637799</v>
      </c>
      <c r="E5" s="1">
        <v>1.697465716019966</v>
      </c>
      <c r="F5" s="1">
        <v>3.7637509524098638</v>
      </c>
      <c r="G5" s="1">
        <v>2.5469413852021501</v>
      </c>
      <c r="H5" s="1">
        <v>4.7469199549469376</v>
      </c>
      <c r="I5" s="1">
        <v>1.550083776583973</v>
      </c>
      <c r="J5" s="1">
        <v>2.364265404201034</v>
      </c>
      <c r="K5" s="1">
        <v>1.4538940849623561</v>
      </c>
      <c r="L5" s="1">
        <v>4.6987744731142511</v>
      </c>
      <c r="M5" s="1">
        <v>4.5093574135239241</v>
      </c>
      <c r="N5" s="1">
        <v>2.031766510860622</v>
      </c>
      <c r="O5" s="1">
        <v>3.6399361841367162</v>
      </c>
      <c r="P5" s="1">
        <v>4.2688888008048629</v>
      </c>
    </row>
    <row r="6" spans="1:16" x14ac:dyDescent="0.25">
      <c r="A6" s="1" t="s">
        <v>8</v>
      </c>
      <c r="B6" s="1" t="s">
        <v>3</v>
      </c>
      <c r="C6">
        <v>119</v>
      </c>
      <c r="D6" s="1">
        <v>172</v>
      </c>
      <c r="E6" s="1">
        <v>61</v>
      </c>
      <c r="F6" s="1">
        <v>188</v>
      </c>
      <c r="G6" s="1">
        <v>107</v>
      </c>
      <c r="H6" s="1">
        <v>199</v>
      </c>
      <c r="I6" s="1">
        <v>256</v>
      </c>
      <c r="J6" s="1">
        <v>96</v>
      </c>
      <c r="K6" s="1">
        <v>219</v>
      </c>
      <c r="L6" s="1">
        <v>68</v>
      </c>
      <c r="M6" s="1">
        <v>292</v>
      </c>
      <c r="N6" s="1">
        <v>158</v>
      </c>
      <c r="O6" s="1">
        <v>206</v>
      </c>
      <c r="P6" s="1">
        <v>107</v>
      </c>
    </row>
    <row r="7" spans="1:16" x14ac:dyDescent="0.25">
      <c r="A7" s="1" t="s">
        <v>9</v>
      </c>
      <c r="B7" s="1" t="s">
        <v>3</v>
      </c>
      <c r="C7">
        <v>2436</v>
      </c>
      <c r="D7" s="1">
        <v>2718</v>
      </c>
      <c r="E7" s="1">
        <v>1311</v>
      </c>
      <c r="F7" s="1">
        <v>4360</v>
      </c>
      <c r="G7" s="1">
        <v>2946</v>
      </c>
      <c r="H7" s="1">
        <v>4349</v>
      </c>
      <c r="I7" s="1">
        <v>1894</v>
      </c>
      <c r="J7" s="1">
        <v>2041</v>
      </c>
      <c r="K7" s="1">
        <v>2968</v>
      </c>
      <c r="L7" s="1">
        <v>1857</v>
      </c>
      <c r="M7" s="1">
        <v>3300</v>
      </c>
      <c r="N7" s="1">
        <v>2281</v>
      </c>
      <c r="O7" s="1">
        <v>1268</v>
      </c>
      <c r="P7" s="1">
        <v>2030</v>
      </c>
    </row>
    <row r="8" spans="1:16" x14ac:dyDescent="0.25">
      <c r="A8" s="1" t="s">
        <v>10</v>
      </c>
      <c r="B8" s="1" t="s">
        <v>3</v>
      </c>
      <c r="C8">
        <v>143356.40829888379</v>
      </c>
      <c r="D8" s="1">
        <v>151865.34565092961</v>
      </c>
      <c r="E8" s="1">
        <v>130518.6986786229</v>
      </c>
      <c r="F8" s="1">
        <v>148562.72813385809</v>
      </c>
      <c r="G8" s="1">
        <v>63180.001696905958</v>
      </c>
      <c r="H8" s="1">
        <v>258815.5013866206</v>
      </c>
      <c r="I8" s="1">
        <v>64975.216901215746</v>
      </c>
      <c r="J8" s="1">
        <v>100657.0231466894</v>
      </c>
      <c r="K8" s="1">
        <v>236055.84899455009</v>
      </c>
      <c r="L8" s="1">
        <v>144242.83514689631</v>
      </c>
      <c r="M8" s="1">
        <v>147328.04904903079</v>
      </c>
      <c r="N8" s="1">
        <v>144622.74127165799</v>
      </c>
      <c r="O8" s="1">
        <v>76974.099954523816</v>
      </c>
      <c r="P8" s="1">
        <v>143940.41719338941</v>
      </c>
    </row>
    <row r="9" spans="1:16" x14ac:dyDescent="0.25">
      <c r="A9" s="1" t="s">
        <v>11</v>
      </c>
      <c r="B9" s="1" t="s">
        <v>3</v>
      </c>
      <c r="C9">
        <v>1145</v>
      </c>
      <c r="D9" s="1">
        <v>1793</v>
      </c>
      <c r="E9" s="1">
        <v>3536</v>
      </c>
      <c r="F9" s="1">
        <v>662</v>
      </c>
      <c r="G9" s="1">
        <v>2585</v>
      </c>
      <c r="H9" s="1">
        <v>3454</v>
      </c>
      <c r="I9" s="1">
        <v>325</v>
      </c>
      <c r="J9" s="1">
        <v>4993</v>
      </c>
      <c r="K9" s="1">
        <v>1059</v>
      </c>
      <c r="L9" s="1">
        <v>4648</v>
      </c>
      <c r="M9" s="1">
        <v>3167</v>
      </c>
      <c r="N9" s="1">
        <v>915</v>
      </c>
      <c r="O9" s="1">
        <v>4854</v>
      </c>
      <c r="P9" s="1">
        <v>4742</v>
      </c>
    </row>
    <row r="10" spans="1:16" x14ac:dyDescent="0.25">
      <c r="A10" s="1" t="s">
        <v>12</v>
      </c>
      <c r="B10" s="1" t="s">
        <v>3</v>
      </c>
      <c r="C10">
        <v>3220</v>
      </c>
      <c r="D10" s="1">
        <v>116</v>
      </c>
      <c r="E10" s="1">
        <v>1343</v>
      </c>
      <c r="F10" s="1">
        <v>2305</v>
      </c>
      <c r="G10" s="1">
        <v>2624</v>
      </c>
      <c r="H10" s="1">
        <v>1169</v>
      </c>
      <c r="I10" s="1">
        <v>3544</v>
      </c>
      <c r="J10" s="1">
        <v>2665</v>
      </c>
      <c r="K10" s="1">
        <v>1160</v>
      </c>
      <c r="L10" s="1">
        <v>2427</v>
      </c>
      <c r="M10" s="1">
        <v>3520</v>
      </c>
      <c r="N10" s="1">
        <v>401</v>
      </c>
      <c r="O10" s="1">
        <v>4376</v>
      </c>
      <c r="P10" s="1">
        <v>706</v>
      </c>
    </row>
    <row r="11" spans="1:16" x14ac:dyDescent="0.25">
      <c r="A11" s="1" t="s">
        <v>13</v>
      </c>
      <c r="B11" s="1" t="s">
        <v>3</v>
      </c>
      <c r="C11">
        <v>3270</v>
      </c>
      <c r="D11" s="1">
        <v>799</v>
      </c>
      <c r="E11" s="1">
        <v>1239</v>
      </c>
      <c r="F11" s="1">
        <v>290</v>
      </c>
      <c r="G11" s="1">
        <v>2400</v>
      </c>
      <c r="H11" s="1">
        <v>1080</v>
      </c>
      <c r="I11" s="1">
        <v>3075</v>
      </c>
      <c r="J11" s="1">
        <v>1284</v>
      </c>
      <c r="K11" s="1">
        <v>3427</v>
      </c>
      <c r="L11" s="1">
        <v>3494</v>
      </c>
      <c r="M11" s="1">
        <v>227</v>
      </c>
      <c r="N11" s="1">
        <v>2165</v>
      </c>
      <c r="O11" s="1">
        <v>1916</v>
      </c>
      <c r="P11" s="1">
        <v>669</v>
      </c>
    </row>
    <row r="12" spans="1:16" x14ac:dyDescent="0.25">
      <c r="A12" s="1" t="s">
        <v>12</v>
      </c>
      <c r="B12" s="1" t="s">
        <v>3</v>
      </c>
      <c r="C12">
        <v>4441</v>
      </c>
      <c r="D12" s="1">
        <v>2906</v>
      </c>
      <c r="E12" s="1">
        <v>637</v>
      </c>
      <c r="F12" s="1">
        <v>1941</v>
      </c>
      <c r="G12" s="1">
        <v>2555</v>
      </c>
      <c r="H12" s="1">
        <v>624</v>
      </c>
      <c r="I12" s="1">
        <v>3050</v>
      </c>
      <c r="J12" s="1">
        <v>4231</v>
      </c>
      <c r="K12" s="1">
        <v>4880</v>
      </c>
      <c r="L12" s="1">
        <v>4215</v>
      </c>
      <c r="M12" s="1">
        <v>2468</v>
      </c>
      <c r="N12" s="1">
        <v>3947</v>
      </c>
      <c r="O12" s="1">
        <v>4595</v>
      </c>
      <c r="P12" s="1">
        <v>2801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E75720-3E74-460C-B51A-280929D59F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yogesh</dc:creator>
  <cp:lastModifiedBy>yogesh</cp:lastModifiedBy>
  <dcterms:created xsi:type="dcterms:W3CDTF">2024-02-12T11:43:32Z</dcterms:created>
  <dcterms:modified xsi:type="dcterms:W3CDTF">2024-02-12T15:31:01Z</dcterms:modified>
</cp:coreProperties>
</file>